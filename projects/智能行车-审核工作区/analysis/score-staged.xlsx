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实习\汽研\SKILL\docs\"/>
    </mc:Choice>
  </mc:AlternateContent>
  <bookViews>
    <workbookView windowWidth="28800" windowHeight="119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<sst xmlns="http://schemas.openxmlformats.org/spreadsheetml/2006/main" count="139" uniqueCount="108">
  <si>
    <t>智能行车分指数评分表</t>
  </si>
  <si>
    <t>评价项目</t>
  </si>
  <si>
    <t>连续测试-具体试验场景</t>
  </si>
  <si>
    <t>未发生碰撞</t>
  </si>
  <si>
    <t>发生碰撞</t>
  </si>
  <si>
    <t>得分率</t>
  </si>
  <si>
    <t>得分</t>
  </si>
  <si>
    <t>路线</t>
  </si>
  <si>
    <t>场景</t>
  </si>
  <si>
    <t>是否完全自主通过</t>
  </si>
  <si>
    <t>是否刹停后，拨打转向灯后，自主通过</t>
  </si>
  <si>
    <t>是否刹停后，拨打转向灯15s内，不能自主通过</t>
  </si>
  <si>
    <t>是否触发AEB</t>
  </si>
  <si>
    <t>制动前有无报警提示</t>
  </si>
  <si>
    <t>碰撞前有无报警提示</t>
  </si>
  <si>
    <t>封闭场地试验</t>
  </si>
  <si>
    <t>高速/城快连续测试路线</t>
  </si>
  <si>
    <t>隧道内遇事故车辆</t>
  </si>
  <si>
    <t>施工区域改道</t>
  </si>
  <si>
    <t>弯道遇抛锚车辆（车尾有行人）</t>
  </si>
  <si>
    <t>乘用车目标车切入</t>
  </si>
  <si>
    <t>城区连续测试路线</t>
  </si>
  <si>
    <t>隧道施工区域通行</t>
  </si>
  <si>
    <t>路口左转，多目标横穿</t>
  </si>
  <si>
    <t>直道遇倒地踏板式两轮摩托车</t>
  </si>
  <si>
    <t>立交桥遇抛锚车辆</t>
  </si>
  <si>
    <t>通行性得分</t>
  </si>
  <si>
    <t>通行时间</t>
  </si>
  <si>
    <t>罚分项</t>
  </si>
  <si>
    <t>出现次数</t>
  </si>
  <si>
    <t>扣分</t>
  </si>
  <si>
    <t>变道不打转向灯（紧急场景除外）</t>
  </si>
  <si>
    <t>压实线</t>
  </si>
  <si>
    <t>驶入错误的路线</t>
  </si>
  <si>
    <t>驶入错误的车道</t>
  </si>
  <si>
    <t>非场景路段内，驾驶员意料之外的制动</t>
  </si>
  <si>
    <t>车辆通过测试场景时，纵向加速度绝对值≥4m/s2</t>
  </si>
  <si>
    <t>封闭场地试验得分</t>
  </si>
  <si>
    <t>开放道路试验</t>
  </si>
  <si>
    <t>第1档</t>
  </si>
  <si>
    <t>第2档</t>
  </si>
  <si>
    <t>第3档</t>
  </si>
  <si>
    <t>第4档</t>
  </si>
  <si>
    <t>2分场景
（次数）</t>
  </si>
  <si>
    <t>1.8分场景
（次数）</t>
  </si>
  <si>
    <t>1.2分场景
（次数）</t>
  </si>
  <si>
    <t>1分场景
（次数）</t>
  </si>
  <si>
    <t>0.8分场景
（次数）</t>
  </si>
  <si>
    <t>高速公路</t>
  </si>
  <si>
    <t>路段内</t>
  </si>
  <si>
    <t>拥堵走停</t>
  </si>
  <si>
    <t>隧道通行</t>
  </si>
  <si>
    <t>匝道处</t>
  </si>
  <si>
    <t>高速汇出匝道</t>
  </si>
  <si>
    <t>匝道内路线选择</t>
  </si>
  <si>
    <t>匝道内急弯通行</t>
  </si>
  <si>
    <t>匝道汇入高速</t>
  </si>
  <si>
    <t>城市快速路</t>
  </si>
  <si>
    <t>匝道出入口通行</t>
  </si>
  <si>
    <t>城市道路</t>
  </si>
  <si>
    <t>急弯通行</t>
  </si>
  <si>
    <t>主路辅路切换</t>
  </si>
  <si>
    <t>路口处</t>
  </si>
  <si>
    <t>车道选择</t>
  </si>
  <si>
    <t>路口通行－主车进入路口前</t>
  </si>
  <si>
    <t>路口通行－主车路口停止时</t>
  </si>
  <si>
    <t>路口通行－主车路口通行时</t>
  </si>
  <si>
    <t>环岛通行－主车驶入环岛</t>
  </si>
  <si>
    <t>环岛通行－主车环岛内行驶</t>
  </si>
  <si>
    <t>环岛通行－主车驶出环岛</t>
  </si>
  <si>
    <t>调头通行</t>
  </si>
  <si>
    <t>智能拟人化</t>
  </si>
  <si>
    <t>平均通行时间的偏差σ</t>
  </si>
  <si>
    <t>测试路线</t>
  </si>
  <si>
    <t>行驶舒适性</t>
  </si>
  <si>
    <t>第一档扣分
（次数）</t>
  </si>
  <si>
    <t>第二档扣分
（次数）</t>
  </si>
  <si>
    <t>纵向加速度</t>
  </si>
  <si>
    <t>直行</t>
  </si>
  <si>
    <t>重庆市盘溪路</t>
  </si>
  <si>
    <r>
      <rPr>
        <sz val="18"/>
        <color theme="1"/>
        <rFont val="Microsoft YaHei"/>
        <charset val="134"/>
      </rPr>
      <t>渝蓉高速</t>
    </r>
    <r>
      <rPr>
        <sz val="18"/>
        <color theme="1"/>
        <rFont val="Times New Roman"/>
        <charset val="134"/>
      </rPr>
      <t>‌</t>
    </r>
    <r>
      <rPr>
        <sz val="18"/>
        <color theme="1"/>
        <rFont val="Microsoft YaHei"/>
        <charset val="134"/>
      </rPr>
      <t>：缙云山隧道出口－云雾山隧道入口</t>
    </r>
  </si>
  <si>
    <t>成宜高速：富加北枢纽-清风枢纽</t>
  </si>
  <si>
    <t>成都市新华大道双林路</t>
  </si>
  <si>
    <t>路口转弯</t>
  </si>
  <si>
    <t>重庆市渝中区渝州路与虎歇路路口</t>
  </si>
  <si>
    <t>重庆市两江新区福康路与新南路路口</t>
  </si>
  <si>
    <t>成都市湔江路与九寨沟路路口</t>
  </si>
  <si>
    <t>横向加速度</t>
  </si>
  <si>
    <t>高速/城快/城区道路</t>
  </si>
  <si>
    <t>所有场景路段</t>
  </si>
  <si>
    <t>超过道路限速</t>
  </si>
  <si>
    <t>变道不打转向灯</t>
  </si>
  <si>
    <t>连续压虚线行驶超过8s（不可抗力因素除外）</t>
  </si>
  <si>
    <t>驾驶员意料之外的制动或转向</t>
  </si>
  <si>
    <t>一次连续变更两条以上机动车道</t>
  </si>
  <si>
    <t>驶入错误车道</t>
  </si>
  <si>
    <t>非规定场景路段</t>
  </si>
  <si>
    <t>总控制次数（2次～5次）</t>
  </si>
  <si>
    <t>总控制次数（6次～9次）</t>
  </si>
  <si>
    <t>总控制次数（10 次及以上）</t>
  </si>
  <si>
    <t>高速/城快道路</t>
  </si>
  <si>
    <t>在道路通畅情况下，主车在路段内低于道路最低限速行驶超过30s</t>
  </si>
  <si>
    <t>城区道路</t>
  </si>
  <si>
    <t>驶入公交车专用道</t>
  </si>
  <si>
    <t>驶入非机动车道</t>
  </si>
  <si>
    <t>闯红灯</t>
  </si>
  <si>
    <t>开放道路试验得分</t>
  </si>
  <si>
    <t>智能行车得分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</si>
</sst>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h:mm:ss;@"/>
    <numFmt numFmtId="178" formatCode="0.00_ "/>
  </numFmts>
  <fonts count="26">
    <font>
      <sz val="11"/>
      <color theme="1"/>
      <name val="宋体"/>
      <charset val="134"/>
      <scheme val="minor"/>
    </font>
    <font>
      <b/>
      <sz val="18"/>
      <color theme="1"/>
      <name val="Microsoft YaHei"/>
      <charset val="134"/>
    </font>
    <font>
      <sz val="18"/>
      <color theme="1"/>
      <name val="Microsoft YaHei"/>
      <charset val="134"/>
    </font>
    <font>
      <sz val="18"/>
      <color rgb="FF000000"/>
      <name val="Microsoft YaHei"/>
      <charset val="134"/>
    </font>
    <font>
      <sz val="18"/>
      <name val="Microsoft YaHei"/>
      <charset val="134"/>
    </font>
    <font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8"/>
      <color theme="1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8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9">
      <alignment vertical="center"/>
    </xf>
    <xf numFmtId="0" fontId="12" fillId="0" borderId="9">
      <alignment vertical="center"/>
    </xf>
    <xf numFmtId="0" fontId="13" fillId="0" borderId="10">
      <alignment vertical="center"/>
    </xf>
    <xf numFmtId="0" fontId="13" fillId="0" borderId="0">
      <alignment vertical="center"/>
    </xf>
    <xf numFmtId="0" fontId="14" fillId="5" borderId="11">
      <alignment vertical="center"/>
    </xf>
    <xf numFmtId="0" fontId="15" fillId="6" borderId="12">
      <alignment vertical="center"/>
    </xf>
    <xf numFmtId="0" fontId="16" fillId="6" borderId="11">
      <alignment vertical="center"/>
    </xf>
    <xf numFmtId="0" fontId="17" fillId="7" borderId="13">
      <alignment vertical="center"/>
    </xf>
    <xf numFmtId="0" fontId="18" fillId="0" borderId="14">
      <alignment vertical="center"/>
    </xf>
    <xf numFmtId="0" fontId="19" fillId="0" borderId="15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21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9" fontId="4" fillId="2" borderId="4" xfId="0" applyNumberFormat="1" applyFont="1" applyFill="1" applyBorder="1" applyAlignment="1">
      <alignment horizontal="center" vertical="center"/>
    </xf>
    <xf numFmtId="176" fontId="2" fillId="0" borderId="4" xfId="0" applyNumberFormat="1" applyFont="1" applyFill="1" applyBorder="1" applyAlignment="1">
      <alignment horizontal="center" vertical="center"/>
    </xf>
    <xf numFmtId="177" fontId="2" fillId="0" borderId="4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8" fontId="5" fillId="3" borderId="4" xfId="0" applyNumberFormat="1" applyFont="1" applyFill="1" applyBorder="1" applyAlignment="1">
      <alignment horizontal="center" vertical="center"/>
    </xf>
    <xf numFmtId="10" fontId="2" fillId="0" borderId="4" xfId="0" applyNumberFormat="1" applyFont="1" applyFill="1" applyBorder="1" applyAlignment="1">
      <alignment horizontal="center" vertical="center"/>
    </xf>
    <xf numFmtId="176" fontId="2" fillId="0" borderId="5" xfId="0" applyNumberFormat="1" applyFont="1" applyFill="1" applyBorder="1" applyAlignment="1">
      <alignment horizontal="center" vertical="center"/>
    </xf>
    <xf numFmtId="176" fontId="2" fillId="0" borderId="6" xfId="0" applyNumberFormat="1" applyFont="1" applyFill="1" applyBorder="1" applyAlignment="1">
      <alignment horizontal="center" vertical="center"/>
    </xf>
    <xf numFmtId="176" fontId="2" fillId="0" borderId="7" xfId="0" applyNumberFormat="1" applyFont="1" applyFill="1" applyBorder="1" applyAlignment="1">
      <alignment horizontal="center" vertical="center"/>
    </xf>
    <xf numFmtId="178" fontId="2" fillId="0" borderId="4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7"/>
  <sheetViews>
    <sheetView tabSelected="1" zoomScale="55" zoomScaleNormal="55" topLeftCell="C52" workbookViewId="0">
      <selection activeCell="F68" sqref="F68:M68"/>
    </sheetView>
  </sheetViews>
  <sheetFormatPr defaultColWidth="9" defaultRowHeight="13.5"/>
  <cols>
    <col min="1" max="1" width="23.275" customWidth="1"/>
    <col min="2" max="2" width="39.4583333333333" customWidth="1"/>
    <col min="3" max="3" width="52.725" customWidth="1"/>
    <col min="4" max="4" width="30.6333333333333" customWidth="1"/>
    <col min="5" max="5" width="63.725" customWidth="1"/>
    <col min="6" max="6" width="77.4583333333333" customWidth="1"/>
    <col min="7" max="8" width="32.4583333333333" customWidth="1"/>
    <col min="9" max="9" width="29.1833333333333" customWidth="1"/>
    <col min="10" max="11" width="32.4583333333333" customWidth="1"/>
    <col min="12" max="12" width="29.1833333333333" customWidth="1"/>
    <col min="13" max="13" width="32.4583333333333" customWidth="1"/>
    <col min="14" max="14" width="11.275" customWidth="1"/>
  </cols>
  <sheetData>
    <row r="1" ht="24.75" spans="1:1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24.75" spans="1:14">
      <c r="A2" s="4" t="s">
        <v>1</v>
      </c>
      <c r="B2" s="4" t="s">
        <v>2</v>
      </c>
      <c r="C2" s="4"/>
      <c r="D2" s="4" t="s">
        <v>3</v>
      </c>
      <c r="E2" s="4"/>
      <c r="F2" s="4"/>
      <c r="G2" s="4"/>
      <c r="H2" s="4"/>
      <c r="I2" s="4"/>
      <c r="J2" s="4"/>
      <c r="K2" s="4" t="s">
        <v>4</v>
      </c>
      <c r="L2" s="4"/>
      <c r="M2" s="4" t="s">
        <v>5</v>
      </c>
      <c r="N2" s="4" t="s">
        <v>6</v>
      </c>
    </row>
    <row r="3" ht="24.75" spans="1:14">
      <c r="A3" s="4"/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4"/>
      <c r="I3" s="4" t="s">
        <v>13</v>
      </c>
      <c r="J3" s="4"/>
      <c r="K3" s="4" t="s">
        <v>14</v>
      </c>
      <c r="L3" s="4"/>
      <c r="M3" s="4"/>
      <c r="N3" s="4"/>
    </row>
    <row r="4" ht="24.75" spans="1:14">
      <c r="A4" s="5" t="s">
        <v>15</v>
      </c>
      <c r="B4" s="5" t="s">
        <v>16</v>
      </c>
      <c r="C4" s="6" t="s">
        <v>17</v>
      </c>
      <c r="D4" s="5"/>
      <c r="E4" s="5"/>
      <c r="F4" s="5"/>
      <c r="G4" s="7"/>
      <c r="H4" s="8"/>
      <c r="I4" s="7"/>
      <c r="J4" s="8"/>
      <c r="K4" s="7"/>
      <c r="L4" s="8"/>
      <c r="M4" s="9"/>
      <c r="N4" s="10"/>
    </row>
    <row r="5" ht="24.75" spans="1:14">
      <c r="A5" s="5"/>
      <c r="B5" s="5"/>
      <c r="C5" s="6" t="s">
        <v>18</v>
      </c>
      <c r="D5" s="5"/>
      <c r="E5" s="5"/>
      <c r="F5" s="5"/>
      <c r="G5" s="7"/>
      <c r="H5" s="8"/>
      <c r="I5" s="7"/>
      <c r="J5" s="8"/>
      <c r="K5" s="7"/>
      <c r="L5" s="8"/>
      <c r="M5" s="9"/>
      <c r="N5" s="10"/>
    </row>
    <row r="6" ht="24.75" spans="1:14">
      <c r="A6" s="5"/>
      <c r="B6" s="5"/>
      <c r="C6" s="6" t="s">
        <v>19</v>
      </c>
      <c r="D6" s="5"/>
      <c r="E6" s="5"/>
      <c r="F6" s="5"/>
      <c r="G6" s="7"/>
      <c r="H6" s="8"/>
      <c r="I6" s="7"/>
      <c r="J6" s="8"/>
      <c r="K6" s="7"/>
      <c r="L6" s="8"/>
      <c r="M6" s="9"/>
      <c r="N6" s="10"/>
    </row>
    <row r="7" ht="24.75" spans="1:14">
      <c r="A7" s="5"/>
      <c r="B7" s="5"/>
      <c r="C7" s="6" t="s">
        <v>20</v>
      </c>
      <c r="D7" s="5"/>
      <c r="E7" s="5"/>
      <c r="F7" s="5"/>
      <c r="G7" s="7"/>
      <c r="H7" s="8"/>
      <c r="I7" s="7"/>
      <c r="J7" s="8"/>
      <c r="K7" s="7"/>
      <c r="L7" s="8"/>
      <c r="M7" s="9"/>
      <c r="N7" s="10"/>
    </row>
    <row r="8" ht="24.75" spans="1:14">
      <c r="A8" s="5"/>
      <c r="B8" s="5" t="s">
        <v>21</v>
      </c>
      <c r="C8" s="6" t="s">
        <v>22</v>
      </c>
      <c r="D8" s="5"/>
      <c r="E8" s="5"/>
      <c r="F8" s="5"/>
      <c r="G8" s="7"/>
      <c r="H8" s="8"/>
      <c r="I8" s="7"/>
      <c r="J8" s="8"/>
      <c r="K8" s="7"/>
      <c r="L8" s="8"/>
      <c r="M8" s="9"/>
      <c r="N8" s="10"/>
    </row>
    <row r="9" ht="24.75" spans="1:14">
      <c r="A9" s="5"/>
      <c r="B9" s="5"/>
      <c r="C9" s="6" t="s">
        <v>23</v>
      </c>
      <c r="D9" s="5"/>
      <c r="E9" s="5"/>
      <c r="F9" s="5"/>
      <c r="G9" s="7"/>
      <c r="H9" s="8"/>
      <c r="I9" s="7"/>
      <c r="J9" s="8"/>
      <c r="K9" s="7"/>
      <c r="L9" s="8"/>
      <c r="M9" s="9"/>
      <c r="N9" s="10"/>
    </row>
    <row r="10" ht="24.75" spans="1:14">
      <c r="A10" s="5"/>
      <c r="B10" s="5"/>
      <c r="C10" s="6" t="s">
        <v>24</v>
      </c>
      <c r="D10" s="5"/>
      <c r="E10" s="5"/>
      <c r="F10" s="5"/>
      <c r="G10" s="7"/>
      <c r="H10" s="8"/>
      <c r="I10" s="7"/>
      <c r="J10" s="8"/>
      <c r="K10" s="7"/>
      <c r="L10" s="8"/>
      <c r="M10" s="9"/>
      <c r="N10" s="10"/>
    </row>
    <row r="11" ht="24.75" spans="1:14">
      <c r="A11" s="5"/>
      <c r="B11" s="5"/>
      <c r="C11" s="6" t="s">
        <v>25</v>
      </c>
      <c r="D11" s="5"/>
      <c r="E11" s="5"/>
      <c r="F11" s="5"/>
      <c r="G11" s="7"/>
      <c r="H11" s="8"/>
      <c r="I11" s="7"/>
      <c r="J11" s="8"/>
      <c r="K11" s="7"/>
      <c r="L11" s="8"/>
      <c r="M11" s="9"/>
      <c r="N11" s="10"/>
    </row>
    <row r="12" ht="24.75" spans="1:14">
      <c r="A12" s="4"/>
      <c r="B12" s="4" t="s">
        <v>26</v>
      </c>
      <c r="C12" s="4"/>
      <c r="D12" s="4" t="s">
        <v>27</v>
      </c>
      <c r="E12" s="4"/>
      <c r="F12" s="4"/>
      <c r="G12" s="4"/>
      <c r="H12" s="4"/>
      <c r="I12" s="4"/>
      <c r="J12" s="4"/>
      <c r="K12" s="4"/>
      <c r="L12" s="4"/>
      <c r="M12" s="4" t="s">
        <v>5</v>
      </c>
      <c r="N12" s="4" t="s">
        <v>6</v>
      </c>
    </row>
    <row r="13" ht="24.75" spans="1:14">
      <c r="A13" s="5"/>
      <c r="B13" s="5" t="s">
        <v>16</v>
      </c>
      <c r="C13" s="5"/>
      <c r="D13" s="11"/>
      <c r="E13" s="11"/>
      <c r="F13" s="11"/>
      <c r="G13" s="11"/>
      <c r="H13" s="11"/>
      <c r="I13" s="11"/>
      <c r="J13" s="11"/>
      <c r="K13" s="11"/>
      <c r="L13" s="11"/>
      <c r="M13" s="5"/>
      <c r="N13" s="10"/>
    </row>
    <row r="14" ht="24.75" spans="1:14">
      <c r="A14" s="5"/>
      <c r="B14" s="5" t="s">
        <v>21</v>
      </c>
      <c r="C14" s="5"/>
      <c r="D14" s="11"/>
      <c r="E14" s="11"/>
      <c r="F14" s="11"/>
      <c r="G14" s="11"/>
      <c r="H14" s="11"/>
      <c r="I14" s="11"/>
      <c r="J14" s="11"/>
      <c r="K14" s="11"/>
      <c r="L14" s="11"/>
      <c r="M14" s="5"/>
      <c r="N14" s="10"/>
    </row>
    <row r="15" ht="24.75" spans="1:14">
      <c r="A15" s="4"/>
      <c r="B15" s="4" t="s">
        <v>28</v>
      </c>
      <c r="C15" s="4"/>
      <c r="D15" s="4" t="s">
        <v>29</v>
      </c>
      <c r="E15" s="4"/>
      <c r="F15" s="4"/>
      <c r="G15" s="4"/>
      <c r="H15" s="4"/>
      <c r="I15" s="4"/>
      <c r="J15" s="4"/>
      <c r="K15" s="4"/>
      <c r="L15" s="4"/>
      <c r="M15" s="4"/>
      <c r="N15" s="4" t="s">
        <v>30</v>
      </c>
    </row>
    <row r="16" ht="24.75" spans="1:14">
      <c r="A16" s="5"/>
      <c r="B16" s="5" t="s">
        <v>31</v>
      </c>
      <c r="C16" s="5"/>
      <c r="D16" s="4"/>
      <c r="E16" s="4"/>
      <c r="F16" s="4"/>
      <c r="G16" s="4"/>
      <c r="H16" s="4"/>
      <c r="I16" s="4"/>
      <c r="J16" s="4"/>
      <c r="K16" s="4"/>
      <c r="L16" s="4"/>
      <c r="M16" s="4"/>
      <c r="N16" s="10">
        <f>IF(D16="","",IF(OR(NOT(ISNUMBER(D16)),D16&lt;0,D16&lt;&gt;INT(D16)),NA(),MIN(3,D16*0.5)))</f>
      </c>
    </row>
    <row r="17" ht="24.75" spans="1:14">
      <c r="A17" s="5"/>
      <c r="B17" s="5" t="s">
        <v>32</v>
      </c>
      <c r="C17" s="5"/>
      <c r="D17" s="4"/>
      <c r="E17" s="4"/>
      <c r="F17" s="4"/>
      <c r="G17" s="4"/>
      <c r="H17" s="4"/>
      <c r="I17" s="4"/>
      <c r="J17" s="4"/>
      <c r="K17" s="4"/>
      <c r="L17" s="4"/>
      <c r="M17" s="4"/>
      <c r="N17" s="10">
        <f>IF(D17="","",IF(OR(NOT(ISNUMBER(D17)),D17&lt;0,D17&lt;&gt;INT(D17)),NA(),MIN(3,D17*0.5)))</f>
      </c>
    </row>
    <row r="18" ht="24.75" spans="1:14">
      <c r="A18" s="5"/>
      <c r="B18" s="5" t="s">
        <v>33</v>
      </c>
      <c r="C18" s="5"/>
      <c r="D18" s="4"/>
      <c r="E18" s="4"/>
      <c r="F18" s="4"/>
      <c r="G18" s="4"/>
      <c r="H18" s="4"/>
      <c r="I18" s="4"/>
      <c r="J18" s="4"/>
      <c r="K18" s="4"/>
      <c r="L18" s="4"/>
      <c r="M18" s="4"/>
      <c r="N18" s="10">
        <f>IF(D18="","",IF(OR(NOT(ISNUMBER(D18)),D18&lt;0,D18&lt;&gt;INT(D18)),NA(),MIN(3,D18*0.5)))</f>
      </c>
    </row>
    <row r="19" ht="24.75" spans="1:14">
      <c r="A19" s="5"/>
      <c r="B19" s="5" t="s">
        <v>34</v>
      </c>
      <c r="C19" s="5"/>
      <c r="D19" s="4"/>
      <c r="E19" s="4"/>
      <c r="F19" s="4"/>
      <c r="G19" s="4"/>
      <c r="H19" s="4"/>
      <c r="I19" s="4"/>
      <c r="J19" s="4"/>
      <c r="K19" s="4"/>
      <c r="L19" s="4"/>
      <c r="M19" s="4"/>
      <c r="N19" s="10">
        <f>IF(D19="","",IF(OR(NOT(ISNUMBER(D19)),D19&lt;0,D19&lt;&gt;INT(D19)),NA(),MIN(3,D19*0.5)))</f>
      </c>
    </row>
    <row r="20" ht="24.75" spans="1:14">
      <c r="A20" s="5"/>
      <c r="B20" s="5" t="s">
        <v>35</v>
      </c>
      <c r="C20" s="5"/>
      <c r="D20" s="4"/>
      <c r="E20" s="4"/>
      <c r="F20" s="4"/>
      <c r="G20" s="4"/>
      <c r="H20" s="4"/>
      <c r="I20" s="4"/>
      <c r="J20" s="4"/>
      <c r="K20" s="4"/>
      <c r="L20" s="4"/>
      <c r="M20" s="4"/>
      <c r="N20" s="10">
        <f>IF(D20="","",IF(OR(NOT(ISNUMBER(D20)),D20&lt;0,D20&lt;&gt;INT(D20)),NA(),MIN(3,D20*0.5)))</f>
      </c>
    </row>
    <row r="21" ht="24.75" spans="1:14">
      <c r="A21" s="5"/>
      <c r="B21" s="5" t="s">
        <v>36</v>
      </c>
      <c r="C21" s="5"/>
      <c r="D21" s="4"/>
      <c r="E21" s="4"/>
      <c r="F21" s="4"/>
      <c r="G21" s="4"/>
      <c r="H21" s="4"/>
      <c r="I21" s="4"/>
      <c r="J21" s="4"/>
      <c r="K21" s="4"/>
      <c r="L21" s="4"/>
      <c r="M21" s="4"/>
      <c r="N21" s="10">
        <f>IF(D21="","",IF(OR(NOT(ISNUMBER(D21)),D21&lt;0,D21&lt;&gt;INT(D21)),NA(),MIN(3,D21*0.5)))</f>
      </c>
    </row>
    <row r="22" ht="24.75" spans="1:14">
      <c r="A22" s="5"/>
      <c r="B22" s="4" t="s">
        <v>37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12"/>
      <c r="N22" s="12"/>
    </row>
    <row r="23" ht="24.75" spans="1:14">
      <c r="A23" s="4" t="s">
        <v>38</v>
      </c>
      <c r="B23" s="4" t="s">
        <v>8</v>
      </c>
      <c r="C23" s="4"/>
      <c r="D23" s="4"/>
      <c r="E23" s="4"/>
      <c r="F23" s="4" t="s">
        <v>39</v>
      </c>
      <c r="G23" s="4" t="s">
        <v>40</v>
      </c>
      <c r="H23" s="4" t="s">
        <v>41</v>
      </c>
      <c r="I23" s="4"/>
      <c r="J23" s="4"/>
      <c r="K23" s="12" t="s">
        <v>42</v>
      </c>
      <c r="L23" s="12"/>
      <c r="M23" s="12"/>
      <c r="N23" s="4" t="s">
        <v>6</v>
      </c>
    </row>
    <row r="24" ht="24.75" spans="1:14">
      <c r="A24" s="4"/>
      <c r="B24" s="4"/>
      <c r="C24" s="4"/>
      <c r="D24" s="4"/>
      <c r="E24" s="4"/>
      <c r="F24" s="4" t="s">
        <v>43</v>
      </c>
      <c r="G24" s="4" t="s">
        <v>44</v>
      </c>
      <c r="H24" s="4" t="s">
        <v>45</v>
      </c>
      <c r="I24" s="4" t="s">
        <v>46</v>
      </c>
      <c r="J24" s="4" t="s">
        <v>47</v>
      </c>
      <c r="K24" s="4" t="s">
        <v>45</v>
      </c>
      <c r="L24" s="4" t="s">
        <v>46</v>
      </c>
      <c r="M24" s="4" t="s">
        <v>47</v>
      </c>
      <c r="N24" s="4"/>
    </row>
    <row r="25" ht="24.75" spans="1:14">
      <c r="A25" s="5"/>
      <c r="B25" s="5" t="s">
        <v>48</v>
      </c>
      <c r="C25" s="5" t="s">
        <v>49</v>
      </c>
      <c r="D25" s="5" t="s">
        <v>50</v>
      </c>
      <c r="E25" s="5"/>
      <c r="F25" s="5"/>
      <c r="G25" s="5"/>
      <c r="H25" s="5"/>
      <c r="I25" s="5"/>
      <c r="J25" s="5"/>
      <c r="K25" s="5"/>
      <c r="L25" s="5"/>
      <c r="M25" s="5"/>
      <c r="N25" s="13"/>
    </row>
    <row r="26" ht="24.75" spans="1:14">
      <c r="A26" s="5"/>
      <c r="B26" s="5"/>
      <c r="C26" s="5"/>
      <c r="D26" s="5" t="s">
        <v>51</v>
      </c>
      <c r="E26" s="5"/>
      <c r="F26" s="5"/>
      <c r="G26" s="5"/>
      <c r="H26" s="5"/>
      <c r="I26" s="5"/>
      <c r="J26" s="5"/>
      <c r="K26" s="5"/>
      <c r="L26" s="5"/>
      <c r="M26" s="5"/>
      <c r="N26" s="13"/>
    </row>
    <row r="27" ht="24.75" spans="1:14">
      <c r="A27" s="5"/>
      <c r="B27" s="5"/>
      <c r="C27" s="5" t="s">
        <v>52</v>
      </c>
      <c r="D27" s="5" t="s">
        <v>53</v>
      </c>
      <c r="E27" s="5"/>
      <c r="F27" s="5"/>
      <c r="G27" s="5"/>
      <c r="H27" s="5"/>
      <c r="I27" s="5"/>
      <c r="J27" s="5"/>
      <c r="K27" s="5"/>
      <c r="L27" s="5"/>
      <c r="M27" s="5"/>
      <c r="N27" s="13"/>
    </row>
    <row r="28" ht="24.75" spans="1:14">
      <c r="A28" s="5"/>
      <c r="B28" s="5"/>
      <c r="C28" s="5"/>
      <c r="D28" s="5" t="s">
        <v>54</v>
      </c>
      <c r="E28" s="5"/>
      <c r="F28" s="5"/>
      <c r="G28" s="5"/>
      <c r="H28" s="5"/>
      <c r="I28" s="5"/>
      <c r="J28" s="5"/>
      <c r="K28" s="5"/>
      <c r="L28" s="5"/>
      <c r="M28" s="5"/>
      <c r="N28" s="13"/>
    </row>
    <row r="29" ht="24.75" spans="1:14">
      <c r="A29" s="5"/>
      <c r="B29" s="5"/>
      <c r="C29" s="5"/>
      <c r="D29" s="5" t="s">
        <v>55</v>
      </c>
      <c r="E29" s="5"/>
      <c r="F29" s="5"/>
      <c r="G29" s="5"/>
      <c r="H29" s="5"/>
      <c r="I29" s="5"/>
      <c r="J29" s="5"/>
      <c r="K29" s="5"/>
      <c r="L29" s="5"/>
      <c r="M29" s="5"/>
      <c r="N29" s="13"/>
    </row>
    <row r="30" ht="24.75" spans="1:14">
      <c r="A30" s="5"/>
      <c r="B30" s="5"/>
      <c r="C30" s="5"/>
      <c r="D30" s="5" t="s">
        <v>56</v>
      </c>
      <c r="E30" s="5"/>
      <c r="F30" s="5"/>
      <c r="G30" s="5"/>
      <c r="H30" s="5"/>
      <c r="I30" s="5"/>
      <c r="J30" s="5"/>
      <c r="K30" s="5"/>
      <c r="L30" s="5"/>
      <c r="M30" s="5"/>
      <c r="N30" s="13"/>
    </row>
    <row r="31" ht="24.75" spans="1:14">
      <c r="A31" s="5"/>
      <c r="B31" s="5" t="s">
        <v>57</v>
      </c>
      <c r="C31" s="5" t="s">
        <v>57</v>
      </c>
      <c r="D31" s="5" t="s">
        <v>58</v>
      </c>
      <c r="E31" s="5"/>
      <c r="F31" s="5"/>
      <c r="G31" s="5"/>
      <c r="H31" s="5"/>
      <c r="I31" s="5"/>
      <c r="J31" s="5"/>
      <c r="K31" s="5"/>
      <c r="L31" s="5"/>
      <c r="M31" s="5"/>
      <c r="N31" s="13"/>
    </row>
    <row r="32" ht="24.75" spans="1:14">
      <c r="A32" s="5"/>
      <c r="B32" s="5" t="s">
        <v>59</v>
      </c>
      <c r="C32" s="5" t="s">
        <v>49</v>
      </c>
      <c r="D32" s="5" t="s">
        <v>50</v>
      </c>
      <c r="E32" s="5"/>
      <c r="F32" s="5"/>
      <c r="G32" s="5"/>
      <c r="H32" s="5"/>
      <c r="I32" s="5"/>
      <c r="J32" s="5"/>
      <c r="K32" s="5"/>
      <c r="L32" s="5"/>
      <c r="M32" s="5"/>
      <c r="N32" s="13"/>
    </row>
    <row r="33" ht="24.75" spans="1:14">
      <c r="A33" s="5"/>
      <c r="B33" s="5"/>
      <c r="C33" s="5"/>
      <c r="D33" s="5" t="s">
        <v>60</v>
      </c>
      <c r="E33" s="5"/>
      <c r="F33" s="5"/>
      <c r="G33" s="5"/>
      <c r="H33" s="5"/>
      <c r="I33" s="5"/>
      <c r="J33" s="5"/>
      <c r="K33" s="5"/>
      <c r="L33" s="5"/>
      <c r="M33" s="5"/>
      <c r="N33" s="13"/>
    </row>
    <row r="34" ht="24.75" spans="1:14">
      <c r="A34" s="5"/>
      <c r="B34" s="5"/>
      <c r="C34" s="5"/>
      <c r="D34" s="5" t="s">
        <v>61</v>
      </c>
      <c r="E34" s="5"/>
      <c r="F34" s="5"/>
      <c r="G34" s="5"/>
      <c r="H34" s="5"/>
      <c r="I34" s="5"/>
      <c r="J34" s="5"/>
      <c r="K34" s="5"/>
      <c r="L34" s="5"/>
      <c r="M34" s="5"/>
      <c r="N34" s="13"/>
    </row>
    <row r="35" ht="24.75" spans="1:14">
      <c r="A35" s="5"/>
      <c r="B35" s="5"/>
      <c r="C35" s="5" t="s">
        <v>62</v>
      </c>
      <c r="D35" s="5" t="s">
        <v>63</v>
      </c>
      <c r="E35" s="5"/>
      <c r="F35" s="5"/>
      <c r="G35" s="5"/>
      <c r="H35" s="5"/>
      <c r="I35" s="5"/>
      <c r="J35" s="5"/>
      <c r="K35" s="5"/>
      <c r="L35" s="5"/>
      <c r="M35" s="5"/>
      <c r="N35" s="13"/>
    </row>
    <row r="36" ht="24.75" spans="1:14">
      <c r="A36" s="5"/>
      <c r="B36" s="5"/>
      <c r="C36" s="5"/>
      <c r="D36" s="5" t="s">
        <v>64</v>
      </c>
      <c r="E36" s="5"/>
      <c r="F36" s="5"/>
      <c r="G36" s="5"/>
      <c r="H36" s="5"/>
      <c r="I36" s="5"/>
      <c r="J36" s="5"/>
      <c r="K36" s="5"/>
      <c r="L36" s="5"/>
      <c r="M36" s="5"/>
      <c r="N36" s="13"/>
    </row>
    <row r="37" ht="24.75" spans="1:14">
      <c r="A37" s="5"/>
      <c r="B37" s="5"/>
      <c r="C37" s="5"/>
      <c r="D37" s="5" t="s">
        <v>65</v>
      </c>
      <c r="E37" s="5"/>
      <c r="F37" s="5"/>
      <c r="G37" s="5"/>
      <c r="H37" s="5"/>
      <c r="I37" s="5"/>
      <c r="J37" s="5"/>
      <c r="K37" s="5"/>
      <c r="L37" s="5"/>
      <c r="M37" s="5"/>
      <c r="N37" s="13"/>
    </row>
    <row r="38" ht="24.75" spans="1:14">
      <c r="A38" s="5"/>
      <c r="B38" s="5"/>
      <c r="C38" s="5"/>
      <c r="D38" s="5" t="s">
        <v>66</v>
      </c>
      <c r="E38" s="5"/>
      <c r="F38" s="5"/>
      <c r="G38" s="5"/>
      <c r="H38" s="5"/>
      <c r="I38" s="5"/>
      <c r="J38" s="5"/>
      <c r="K38" s="5"/>
      <c r="L38" s="5"/>
      <c r="M38" s="5"/>
      <c r="N38" s="13"/>
    </row>
    <row r="39" ht="24.75" spans="1:14">
      <c r="A39" s="5"/>
      <c r="B39" s="5"/>
      <c r="C39" s="5"/>
      <c r="D39" s="5" t="s">
        <v>67</v>
      </c>
      <c r="E39" s="5"/>
      <c r="F39" s="5"/>
      <c r="G39" s="5"/>
      <c r="H39" s="5"/>
      <c r="I39" s="5"/>
      <c r="J39" s="5"/>
      <c r="K39" s="5"/>
      <c r="L39" s="5"/>
      <c r="M39" s="5"/>
      <c r="N39" s="13"/>
    </row>
    <row r="40" ht="24.75" spans="1:14">
      <c r="A40" s="5"/>
      <c r="B40" s="5"/>
      <c r="C40" s="5"/>
      <c r="D40" s="5" t="s">
        <v>68</v>
      </c>
      <c r="E40" s="5"/>
      <c r="F40" s="5"/>
      <c r="G40" s="5"/>
      <c r="H40" s="5"/>
      <c r="I40" s="5"/>
      <c r="J40" s="5"/>
      <c r="K40" s="5"/>
      <c r="L40" s="5"/>
      <c r="M40" s="5"/>
      <c r="N40" s="13"/>
    </row>
    <row r="41" ht="24.75" spans="1:14">
      <c r="A41" s="5"/>
      <c r="B41" s="5"/>
      <c r="C41" s="5"/>
      <c r="D41" s="5" t="s">
        <v>69</v>
      </c>
      <c r="E41" s="5"/>
      <c r="F41" s="5"/>
      <c r="G41" s="5"/>
      <c r="H41" s="5"/>
      <c r="I41" s="5"/>
      <c r="J41" s="5"/>
      <c r="K41" s="5"/>
      <c r="L41" s="5"/>
      <c r="M41" s="5"/>
      <c r="N41" s="13"/>
    </row>
    <row r="42" ht="24.75" spans="1:14">
      <c r="A42" s="5"/>
      <c r="B42" s="5"/>
      <c r="C42" s="5"/>
      <c r="D42" s="5" t="s">
        <v>70</v>
      </c>
      <c r="E42" s="5"/>
      <c r="F42" s="5"/>
      <c r="G42" s="5"/>
      <c r="H42" s="5"/>
      <c r="I42" s="5"/>
      <c r="J42" s="5"/>
      <c r="K42" s="5"/>
      <c r="L42" s="5"/>
      <c r="M42" s="5"/>
      <c r="N42" s="13"/>
    </row>
    <row r="43" ht="24.75" spans="1:14">
      <c r="A43" s="4"/>
      <c r="B43" s="4" t="s">
        <v>71</v>
      </c>
      <c r="C43" s="4"/>
      <c r="D43" s="4"/>
      <c r="E43" s="4"/>
      <c r="F43" s="4" t="s">
        <v>72</v>
      </c>
      <c r="G43" s="4"/>
      <c r="H43" s="4"/>
      <c r="I43" s="4"/>
      <c r="J43" s="4"/>
      <c r="K43" s="4"/>
      <c r="L43" s="4"/>
      <c r="M43" s="4"/>
      <c r="N43" s="4" t="s">
        <v>6</v>
      </c>
    </row>
    <row r="44" ht="24.75" spans="1:14">
      <c r="A44" s="5"/>
      <c r="B44" s="5" t="s">
        <v>73</v>
      </c>
      <c r="C44" s="5"/>
      <c r="D44" s="5"/>
      <c r="E44" s="5"/>
      <c r="F44" s="14"/>
      <c r="G44" s="14"/>
      <c r="H44" s="14"/>
      <c r="I44" s="14"/>
      <c r="J44" s="14"/>
      <c r="K44" s="14"/>
      <c r="L44" s="14"/>
      <c r="M44" s="14"/>
      <c r="N44" s="10"/>
    </row>
    <row r="45" ht="24.75" spans="1:14">
      <c r="A45" s="4"/>
      <c r="B45" s="4" t="s">
        <v>74</v>
      </c>
      <c r="C45" s="4"/>
      <c r="D45" s="4"/>
      <c r="E45" s="4"/>
      <c r="F45" s="4" t="s">
        <v>75</v>
      </c>
      <c r="G45" s="4"/>
      <c r="H45" s="4"/>
      <c r="I45" s="4"/>
      <c r="J45" s="4" t="s">
        <v>76</v>
      </c>
      <c r="K45" s="4"/>
      <c r="L45" s="4"/>
      <c r="M45" s="4"/>
      <c r="N45" s="4" t="s">
        <v>6</v>
      </c>
    </row>
    <row r="46" ht="24.75" spans="1:14">
      <c r="A46" s="5"/>
      <c r="B46" s="5" t="s">
        <v>77</v>
      </c>
      <c r="C46" s="5" t="s">
        <v>78</v>
      </c>
      <c r="D46" s="5" t="s">
        <v>79</v>
      </c>
      <c r="E46" s="5"/>
      <c r="F46" s="5"/>
      <c r="G46" s="5"/>
      <c r="H46" s="5"/>
      <c r="I46" s="5"/>
      <c r="J46" s="5"/>
      <c r="K46" s="5"/>
      <c r="L46" s="5"/>
      <c r="M46" s="5"/>
      <c r="N46" s="15"/>
    </row>
    <row r="47" ht="24.75" spans="1:14">
      <c r="A47" s="5"/>
      <c r="B47" s="5"/>
      <c r="C47" s="5"/>
      <c r="D47" s="5" t="s">
        <v>80</v>
      </c>
      <c r="E47" s="5"/>
      <c r="F47" s="5"/>
      <c r="G47" s="5"/>
      <c r="H47" s="5"/>
      <c r="I47" s="5"/>
      <c r="J47" s="5"/>
      <c r="K47" s="5"/>
      <c r="L47" s="5"/>
      <c r="M47" s="5"/>
      <c r="N47" s="16"/>
    </row>
    <row r="48" ht="24.75" spans="1:14">
      <c r="A48" s="5"/>
      <c r="B48" s="5"/>
      <c r="C48" s="5"/>
      <c r="D48" s="5" t="s">
        <v>81</v>
      </c>
      <c r="E48" s="5"/>
      <c r="F48" s="5"/>
      <c r="G48" s="5"/>
      <c r="H48" s="5"/>
      <c r="I48" s="5"/>
      <c r="J48" s="5"/>
      <c r="K48" s="5"/>
      <c r="L48" s="5"/>
      <c r="M48" s="5"/>
      <c r="N48" s="16"/>
    </row>
    <row r="49" ht="24.75" spans="1:14">
      <c r="A49" s="5"/>
      <c r="B49" s="5"/>
      <c r="C49" s="5"/>
      <c r="D49" s="5" t="s">
        <v>82</v>
      </c>
      <c r="E49" s="5"/>
      <c r="F49" s="5"/>
      <c r="G49" s="5"/>
      <c r="H49" s="5"/>
      <c r="I49" s="5"/>
      <c r="J49" s="5"/>
      <c r="K49" s="5"/>
      <c r="L49" s="5"/>
      <c r="M49" s="5"/>
      <c r="N49" s="16"/>
    </row>
    <row r="50" ht="24.75" spans="1:14">
      <c r="A50" s="5"/>
      <c r="B50" s="5"/>
      <c r="C50" s="5" t="s">
        <v>83</v>
      </c>
      <c r="D50" s="5" t="s">
        <v>84</v>
      </c>
      <c r="E50" s="5"/>
      <c r="F50" s="5"/>
      <c r="G50" s="5"/>
      <c r="H50" s="5"/>
      <c r="I50" s="5"/>
      <c r="J50" s="5"/>
      <c r="K50" s="5"/>
      <c r="L50" s="5"/>
      <c r="M50" s="5"/>
      <c r="N50" s="16"/>
    </row>
    <row r="51" ht="24.75" spans="1:14">
      <c r="A51" s="5"/>
      <c r="B51" s="5"/>
      <c r="C51" s="5"/>
      <c r="D51" s="5" t="s">
        <v>85</v>
      </c>
      <c r="E51" s="5"/>
      <c r="F51" s="5"/>
      <c r="G51" s="5"/>
      <c r="H51" s="5"/>
      <c r="I51" s="5"/>
      <c r="J51" s="5"/>
      <c r="K51" s="5"/>
      <c r="L51" s="5"/>
      <c r="M51" s="5"/>
      <c r="N51" s="16"/>
    </row>
    <row r="52" ht="24.75" spans="1:14">
      <c r="A52" s="5"/>
      <c r="B52" s="5"/>
      <c r="C52" s="5"/>
      <c r="D52" s="5" t="s">
        <v>86</v>
      </c>
      <c r="E52" s="5"/>
      <c r="F52" s="5"/>
      <c r="G52" s="5"/>
      <c r="H52" s="5"/>
      <c r="I52" s="5"/>
      <c r="J52" s="5"/>
      <c r="K52" s="5"/>
      <c r="L52" s="5"/>
      <c r="M52" s="5"/>
      <c r="N52" s="17"/>
    </row>
    <row r="53" ht="24.75" spans="1:14">
      <c r="A53" s="5"/>
      <c r="B53" s="5" t="s">
        <v>87</v>
      </c>
      <c r="C53" s="5" t="s">
        <v>78</v>
      </c>
      <c r="D53" s="5" t="s">
        <v>79</v>
      </c>
      <c r="E53" s="5"/>
      <c r="F53" s="5"/>
      <c r="G53" s="5"/>
      <c r="H53" s="5"/>
      <c r="I53" s="5"/>
      <c r="J53" s="5"/>
      <c r="K53" s="5"/>
      <c r="L53" s="5"/>
      <c r="M53" s="5"/>
      <c r="N53" s="15"/>
    </row>
    <row r="54" ht="24.75" spans="1:14">
      <c r="A54" s="5"/>
      <c r="B54" s="5"/>
      <c r="C54" s="5"/>
      <c r="D54" s="5" t="s">
        <v>80</v>
      </c>
      <c r="E54" s="5"/>
      <c r="F54" s="5"/>
      <c r="G54" s="5"/>
      <c r="H54" s="5"/>
      <c r="I54" s="5"/>
      <c r="J54" s="5"/>
      <c r="K54" s="5"/>
      <c r="L54" s="5"/>
      <c r="M54" s="5"/>
      <c r="N54" s="16"/>
    </row>
    <row r="55" ht="24.75" spans="1:14">
      <c r="A55" s="5"/>
      <c r="B55" s="5"/>
      <c r="C55" s="5"/>
      <c r="D55" s="5" t="s">
        <v>81</v>
      </c>
      <c r="E55" s="5"/>
      <c r="F55" s="5"/>
      <c r="G55" s="5"/>
      <c r="H55" s="5"/>
      <c r="I55" s="5"/>
      <c r="J55" s="5"/>
      <c r="K55" s="5"/>
      <c r="L55" s="5"/>
      <c r="M55" s="5"/>
      <c r="N55" s="16"/>
    </row>
    <row r="56" ht="24.75" spans="1:14">
      <c r="A56" s="5"/>
      <c r="B56" s="5"/>
      <c r="C56" s="5"/>
      <c r="D56" s="5" t="s">
        <v>82</v>
      </c>
      <c r="E56" s="5"/>
      <c r="F56" s="5"/>
      <c r="G56" s="5"/>
      <c r="H56" s="5"/>
      <c r="I56" s="5"/>
      <c r="J56" s="5"/>
      <c r="K56" s="5"/>
      <c r="L56" s="5"/>
      <c r="M56" s="5"/>
      <c r="N56" s="16"/>
    </row>
    <row r="57" ht="24.75" spans="1:14">
      <c r="A57" s="5"/>
      <c r="B57" s="5"/>
      <c r="C57" s="5" t="s">
        <v>83</v>
      </c>
      <c r="D57" s="5" t="s">
        <v>84</v>
      </c>
      <c r="E57" s="5"/>
      <c r="F57" s="5"/>
      <c r="G57" s="5"/>
      <c r="H57" s="5"/>
      <c r="I57" s="5"/>
      <c r="J57" s="5"/>
      <c r="K57" s="5"/>
      <c r="L57" s="5"/>
      <c r="M57" s="5"/>
      <c r="N57" s="16"/>
    </row>
    <row r="58" ht="24.75" spans="1:14">
      <c r="A58" s="5"/>
      <c r="B58" s="5"/>
      <c r="C58" s="5"/>
      <c r="D58" s="5" t="s">
        <v>85</v>
      </c>
      <c r="E58" s="5"/>
      <c r="F58" s="5"/>
      <c r="G58" s="5"/>
      <c r="H58" s="5"/>
      <c r="I58" s="5"/>
      <c r="J58" s="5"/>
      <c r="K58" s="5"/>
      <c r="L58" s="5"/>
      <c r="M58" s="5"/>
      <c r="N58" s="16"/>
    </row>
    <row r="59" ht="24.75" spans="1:14">
      <c r="A59" s="5"/>
      <c r="B59" s="5"/>
      <c r="C59" s="5"/>
      <c r="D59" s="5" t="s">
        <v>86</v>
      </c>
      <c r="E59" s="5"/>
      <c r="F59" s="5"/>
      <c r="G59" s="5"/>
      <c r="H59" s="5"/>
      <c r="I59" s="5"/>
      <c r="J59" s="5"/>
      <c r="K59" s="5"/>
      <c r="L59" s="5"/>
      <c r="M59" s="5"/>
      <c r="N59" s="17"/>
    </row>
    <row r="60" ht="24.75" spans="1:14">
      <c r="A60" s="4"/>
      <c r="B60" s="4" t="s">
        <v>28</v>
      </c>
      <c r="C60" s="4"/>
      <c r="D60" s="4"/>
      <c r="E60" s="4"/>
      <c r="F60" s="4" t="s">
        <v>29</v>
      </c>
      <c r="G60" s="4"/>
      <c r="H60" s="4"/>
      <c r="I60" s="4"/>
      <c r="J60" s="4"/>
      <c r="K60" s="4"/>
      <c r="L60" s="4"/>
      <c r="M60" s="4"/>
      <c r="N60" s="4" t="s">
        <v>30</v>
      </c>
    </row>
    <row r="61" ht="24.75" spans="1:14">
      <c r="A61" s="5"/>
      <c r="B61" s="5" t="s">
        <v>88</v>
      </c>
      <c r="C61" s="5" t="s">
        <v>89</v>
      </c>
      <c r="D61" s="5" t="s">
        <v>90</v>
      </c>
      <c r="E61" s="5"/>
      <c r="F61" s="5"/>
      <c r="G61" s="5"/>
      <c r="H61" s="5"/>
      <c r="I61" s="5"/>
      <c r="J61" s="5"/>
      <c r="K61" s="5"/>
      <c r="L61" s="5"/>
      <c r="M61" s="5"/>
      <c r="N61" s="18"/>
    </row>
    <row r="62" ht="24.75" spans="1:14">
      <c r="A62" s="5"/>
      <c r="B62" s="5"/>
      <c r="C62" s="5"/>
      <c r="D62" s="5" t="s">
        <v>91</v>
      </c>
      <c r="E62" s="5"/>
      <c r="F62" s="5"/>
      <c r="G62" s="5"/>
      <c r="H62" s="5"/>
      <c r="I62" s="5"/>
      <c r="J62" s="5"/>
      <c r="K62" s="5"/>
      <c r="L62" s="5"/>
      <c r="M62" s="5"/>
      <c r="N62" s="18"/>
    </row>
    <row r="63" ht="24.75" spans="1:14">
      <c r="A63" s="5"/>
      <c r="B63" s="5"/>
      <c r="C63" s="5"/>
      <c r="D63" s="5" t="s">
        <v>32</v>
      </c>
      <c r="E63" s="5"/>
      <c r="F63" s="5"/>
      <c r="G63" s="5"/>
      <c r="H63" s="5"/>
      <c r="I63" s="5"/>
      <c r="J63" s="5"/>
      <c r="K63" s="5"/>
      <c r="L63" s="5"/>
      <c r="M63" s="5"/>
      <c r="N63" s="18"/>
    </row>
    <row r="64" ht="24.75" spans="1:14">
      <c r="A64" s="5"/>
      <c r="B64" s="5"/>
      <c r="C64" s="5"/>
      <c r="D64" s="5" t="s">
        <v>92</v>
      </c>
      <c r="E64" s="5"/>
      <c r="F64" s="5"/>
      <c r="G64" s="5"/>
      <c r="H64" s="5"/>
      <c r="I64" s="5"/>
      <c r="J64" s="5"/>
      <c r="K64" s="5"/>
      <c r="L64" s="5"/>
      <c r="M64" s="5"/>
      <c r="N64" s="18"/>
    </row>
    <row r="65" ht="24.75" spans="1:14">
      <c r="A65" s="5"/>
      <c r="B65" s="5"/>
      <c r="C65" s="5"/>
      <c r="D65" s="5" t="s">
        <v>93</v>
      </c>
      <c r="E65" s="5"/>
      <c r="F65" s="5"/>
      <c r="G65" s="5"/>
      <c r="H65" s="5"/>
      <c r="I65" s="5"/>
      <c r="J65" s="5"/>
      <c r="K65" s="5"/>
      <c r="L65" s="5"/>
      <c r="M65" s="5"/>
      <c r="N65" s="18"/>
    </row>
    <row r="66" ht="24.75" spans="1:14">
      <c r="A66" s="5"/>
      <c r="B66" s="5"/>
      <c r="C66" s="5"/>
      <c r="D66" s="5" t="s">
        <v>94</v>
      </c>
      <c r="E66" s="5"/>
      <c r="F66" s="5"/>
      <c r="G66" s="5"/>
      <c r="H66" s="5"/>
      <c r="I66" s="5"/>
      <c r="J66" s="5"/>
      <c r="K66" s="5"/>
      <c r="L66" s="5"/>
      <c r="M66" s="5"/>
      <c r="N66" s="18"/>
    </row>
    <row r="67" ht="24.75" spans="1:14">
      <c r="A67" s="5"/>
      <c r="B67" s="5"/>
      <c r="C67" s="5"/>
      <c r="D67" s="5" t="s">
        <v>33</v>
      </c>
      <c r="E67" s="5"/>
      <c r="F67" s="5"/>
      <c r="G67" s="5"/>
      <c r="H67" s="5"/>
      <c r="I67" s="5"/>
      <c r="J67" s="5"/>
      <c r="K67" s="5"/>
      <c r="L67" s="5"/>
      <c r="M67" s="5"/>
      <c r="N67" s="18"/>
    </row>
    <row r="68" ht="24.75" spans="1:14">
      <c r="A68" s="5"/>
      <c r="B68" s="5"/>
      <c r="C68" s="5"/>
      <c r="D68" s="5" t="s">
        <v>95</v>
      </c>
      <c r="E68" s="5"/>
      <c r="F68" s="5"/>
      <c r="G68" s="5"/>
      <c r="H68" s="5"/>
      <c r="I68" s="5"/>
      <c r="J68" s="5"/>
      <c r="K68" s="5"/>
      <c r="L68" s="5"/>
      <c r="M68" s="5"/>
      <c r="N68" s="18"/>
    </row>
    <row r="69" ht="24.75" spans="1:14">
      <c r="A69" s="5"/>
      <c r="B69" s="5"/>
      <c r="C69" s="5" t="s">
        <v>96</v>
      </c>
      <c r="D69" s="5" t="s">
        <v>97</v>
      </c>
      <c r="E69" s="5"/>
      <c r="F69" s="5"/>
      <c r="G69" s="5"/>
      <c r="H69" s="5"/>
      <c r="I69" s="5"/>
      <c r="J69" s="5"/>
      <c r="K69" s="5"/>
      <c r="L69" s="5"/>
      <c r="M69" s="5"/>
      <c r="N69" s="18"/>
    </row>
    <row r="70" ht="24.75" spans="1:14">
      <c r="A70" s="5"/>
      <c r="B70" s="5"/>
      <c r="C70" s="5"/>
      <c r="D70" s="5" t="s">
        <v>98</v>
      </c>
      <c r="E70" s="5"/>
      <c r="F70" s="5"/>
      <c r="G70" s="5"/>
      <c r="H70" s="5"/>
      <c r="I70" s="5"/>
      <c r="J70" s="5"/>
      <c r="K70" s="5"/>
      <c r="L70" s="5"/>
      <c r="M70" s="5"/>
      <c r="N70" s="18"/>
    </row>
    <row r="71" ht="24.75" spans="1:14">
      <c r="A71" s="5"/>
      <c r="B71" s="5"/>
      <c r="C71" s="5"/>
      <c r="D71" s="5" t="s">
        <v>99</v>
      </c>
      <c r="E71" s="5"/>
      <c r="F71" s="5"/>
      <c r="G71" s="5"/>
      <c r="H71" s="5"/>
      <c r="I71" s="5"/>
      <c r="J71" s="5"/>
      <c r="K71" s="5"/>
      <c r="L71" s="5"/>
      <c r="M71" s="5"/>
      <c r="N71" s="18"/>
    </row>
    <row r="72" ht="24.75" spans="1:14">
      <c r="A72" s="5"/>
      <c r="B72" s="5" t="s">
        <v>100</v>
      </c>
      <c r="C72" s="5" t="s">
        <v>49</v>
      </c>
      <c r="D72" s="5" t="s">
        <v>101</v>
      </c>
      <c r="E72" s="5"/>
      <c r="F72" s="5"/>
      <c r="G72" s="5"/>
      <c r="H72" s="5"/>
      <c r="I72" s="5"/>
      <c r="J72" s="5"/>
      <c r="K72" s="5"/>
      <c r="L72" s="5"/>
      <c r="M72" s="5"/>
      <c r="N72" s="18"/>
    </row>
    <row r="73" ht="24.75" spans="1:14">
      <c r="A73" s="5"/>
      <c r="B73" s="5" t="s">
        <v>102</v>
      </c>
      <c r="C73" s="5" t="s">
        <v>49</v>
      </c>
      <c r="D73" s="5" t="s">
        <v>103</v>
      </c>
      <c r="E73" s="5"/>
      <c r="F73" s="5"/>
      <c r="G73" s="5"/>
      <c r="H73" s="5"/>
      <c r="I73" s="5"/>
      <c r="J73" s="5"/>
      <c r="K73" s="5"/>
      <c r="L73" s="5"/>
      <c r="M73" s="5"/>
      <c r="N73" s="18"/>
    </row>
    <row r="74" ht="24.75" spans="1:14">
      <c r="A74" s="5"/>
      <c r="B74" s="5"/>
      <c r="C74" s="5"/>
      <c r="D74" s="5" t="s">
        <v>104</v>
      </c>
      <c r="E74" s="5"/>
      <c r="F74" s="5"/>
      <c r="G74" s="5"/>
      <c r="H74" s="5"/>
      <c r="I74" s="5"/>
      <c r="J74" s="5"/>
      <c r="K74" s="5"/>
      <c r="L74" s="5"/>
      <c r="M74" s="5"/>
      <c r="N74" s="18"/>
    </row>
    <row r="75" ht="24.75" spans="1:14">
      <c r="A75" s="5"/>
      <c r="B75" s="5"/>
      <c r="C75" s="5" t="s">
        <v>62</v>
      </c>
      <c r="D75" s="5" t="s">
        <v>105</v>
      </c>
      <c r="E75" s="5"/>
      <c r="F75" s="5"/>
      <c r="G75" s="5"/>
      <c r="H75" s="5"/>
      <c r="I75" s="5"/>
      <c r="J75" s="5"/>
      <c r="K75" s="5"/>
      <c r="L75" s="5"/>
      <c r="M75" s="5"/>
      <c r="N75" s="18"/>
    </row>
    <row r="76" ht="24.75" spans="1:14">
      <c r="A76" s="5"/>
      <c r="B76" s="4" t="s">
        <v>106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12"/>
      <c r="N76" s="12"/>
    </row>
    <row r="77" ht="24.75" spans="1:14">
      <c r="A77" s="4" t="s">
        <v>107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19"/>
      <c r="N77" s="20"/>
    </row>
  </sheetData>
  <mergeCells count="186">
    <mergeCell ref="A1:N1"/>
    <mergeCell ref="B2:C2"/>
    <mergeCell ref="D2:J2"/>
    <mergeCell ref="K2:L2"/>
    <mergeCell ref="G3:H3"/>
    <mergeCell ref="I3:J3"/>
    <mergeCell ref="K3:L3"/>
    <mergeCell ref="G4:H4"/>
    <mergeCell ref="I4:J4"/>
    <mergeCell ref="K4:L4"/>
    <mergeCell ref="G5:H5"/>
    <mergeCell ref="I5:J5"/>
    <mergeCell ref="K5:L5"/>
    <mergeCell ref="G6:H6"/>
    <mergeCell ref="I6:J6"/>
    <mergeCell ref="K6:L6"/>
    <mergeCell ref="G7:H7"/>
    <mergeCell ref="I7:J7"/>
    <mergeCell ref="K7:L7"/>
    <mergeCell ref="G8:H8"/>
    <mergeCell ref="I8:J8"/>
    <mergeCell ref="K8:L8"/>
    <mergeCell ref="G9:H9"/>
    <mergeCell ref="I9:J9"/>
    <mergeCell ref="K9:L9"/>
    <mergeCell ref="G10:H10"/>
    <mergeCell ref="I10:J10"/>
    <mergeCell ref="K10:L10"/>
    <mergeCell ref="G11:H11"/>
    <mergeCell ref="I11:J11"/>
    <mergeCell ref="K11:L11"/>
    <mergeCell ref="B12:C12"/>
    <mergeCell ref="D12:L12"/>
    <mergeCell ref="B13:C13"/>
    <mergeCell ref="D13:L13"/>
    <mergeCell ref="B14:C14"/>
    <mergeCell ref="D14:L14"/>
    <mergeCell ref="B15:C15"/>
    <mergeCell ref="D15:L15"/>
    <mergeCell ref="B16:C16"/>
    <mergeCell ref="D16:L16"/>
    <mergeCell ref="B17:C17"/>
    <mergeCell ref="D17:L17"/>
    <mergeCell ref="B18:C18"/>
    <mergeCell ref="D18:L18"/>
    <mergeCell ref="B19:C19"/>
    <mergeCell ref="D19:L19"/>
    <mergeCell ref="B20:C20"/>
    <mergeCell ref="D20:L20"/>
    <mergeCell ref="B21:C21"/>
    <mergeCell ref="D21:L21"/>
    <mergeCell ref="B22:L22"/>
    <mergeCell ref="M22:N22"/>
    <mergeCell ref="H23:J23"/>
    <mergeCell ref="K23:M23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B43:E43"/>
    <mergeCell ref="F43:M43"/>
    <mergeCell ref="B44:E44"/>
    <mergeCell ref="F44:M44"/>
    <mergeCell ref="B45:E45"/>
    <mergeCell ref="F45:I45"/>
    <mergeCell ref="J45:M45"/>
    <mergeCell ref="D46:E46"/>
    <mergeCell ref="F46:I46"/>
    <mergeCell ref="J46:M46"/>
    <mergeCell ref="D47:E47"/>
    <mergeCell ref="F47:I47"/>
    <mergeCell ref="J47:M47"/>
    <mergeCell ref="D48:E48"/>
    <mergeCell ref="F48:I48"/>
    <mergeCell ref="J48:M48"/>
    <mergeCell ref="D49:E49"/>
    <mergeCell ref="F49:I49"/>
    <mergeCell ref="J49:M49"/>
    <mergeCell ref="D50:E50"/>
    <mergeCell ref="F50:I50"/>
    <mergeCell ref="J50:M50"/>
    <mergeCell ref="D51:E51"/>
    <mergeCell ref="F51:I51"/>
    <mergeCell ref="J51:M51"/>
    <mergeCell ref="D52:E52"/>
    <mergeCell ref="F52:I52"/>
    <mergeCell ref="J52:M52"/>
    <mergeCell ref="D53:E53"/>
    <mergeCell ref="F53:I53"/>
    <mergeCell ref="J53:M53"/>
    <mergeCell ref="D54:E54"/>
    <mergeCell ref="F54:I54"/>
    <mergeCell ref="J54:M54"/>
    <mergeCell ref="D55:E55"/>
    <mergeCell ref="F55:I55"/>
    <mergeCell ref="J55:M55"/>
    <mergeCell ref="D56:E56"/>
    <mergeCell ref="F56:I56"/>
    <mergeCell ref="J56:M56"/>
    <mergeCell ref="D57:E57"/>
    <mergeCell ref="F57:I57"/>
    <mergeCell ref="J57:M57"/>
    <mergeCell ref="D58:E58"/>
    <mergeCell ref="F58:I58"/>
    <mergeCell ref="J58:M58"/>
    <mergeCell ref="D59:E59"/>
    <mergeCell ref="F59:I59"/>
    <mergeCell ref="J59:M59"/>
    <mergeCell ref="B60:E60"/>
    <mergeCell ref="F60:M60"/>
    <mergeCell ref="D61:E61"/>
    <mergeCell ref="F61:M61"/>
    <mergeCell ref="D62:E62"/>
    <mergeCell ref="F62:M62"/>
    <mergeCell ref="D63:E63"/>
    <mergeCell ref="F63:M63"/>
    <mergeCell ref="D64:E64"/>
    <mergeCell ref="F64:M64"/>
    <mergeCell ref="D65:E65"/>
    <mergeCell ref="F65:M65"/>
    <mergeCell ref="D66:E66"/>
    <mergeCell ref="F66:M66"/>
    <mergeCell ref="D67:E67"/>
    <mergeCell ref="F67:M67"/>
    <mergeCell ref="D68:E68"/>
    <mergeCell ref="F68:M68"/>
    <mergeCell ref="D69:E69"/>
    <mergeCell ref="F69:M69"/>
    <mergeCell ref="D70:E70"/>
    <mergeCell ref="F70:M70"/>
    <mergeCell ref="D71:E71"/>
    <mergeCell ref="F71:M71"/>
    <mergeCell ref="D72:E72"/>
    <mergeCell ref="F72:M72"/>
    <mergeCell ref="D73:E73"/>
    <mergeCell ref="F73:M73"/>
    <mergeCell ref="D74:E74"/>
    <mergeCell ref="F74:M74"/>
    <mergeCell ref="D75:E75"/>
    <mergeCell ref="F75:M75"/>
    <mergeCell ref="B76:L76"/>
    <mergeCell ref="M76:N76"/>
    <mergeCell ref="A77:L77"/>
    <mergeCell ref="M77:N77"/>
    <mergeCell ref="A2:A3"/>
    <mergeCell ref="A4:A22"/>
    <mergeCell ref="A23:A76"/>
    <mergeCell ref="B4:B7"/>
    <mergeCell ref="B8:B11"/>
    <mergeCell ref="B25:B30"/>
    <mergeCell ref="B32:B42"/>
    <mergeCell ref="B46:B52"/>
    <mergeCell ref="B53:B59"/>
    <mergeCell ref="B61:B71"/>
    <mergeCell ref="B73:B75"/>
    <mergeCell ref="C25:C26"/>
    <mergeCell ref="C27:C30"/>
    <mergeCell ref="C32:C34"/>
    <mergeCell ref="C35:C42"/>
    <mergeCell ref="C46:C49"/>
    <mergeCell ref="C50:C52"/>
    <mergeCell ref="C53:C56"/>
    <mergeCell ref="C57:C59"/>
    <mergeCell ref="C61:C68"/>
    <mergeCell ref="C69:C71"/>
    <mergeCell ref="C73:C74"/>
    <mergeCell ref="M2:M3"/>
    <mergeCell ref="N2:N3"/>
    <mergeCell ref="N23:N24"/>
    <mergeCell ref="N46:N52"/>
    <mergeCell ref="N53:N59"/>
    <mergeCell ref="B23:E2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圆圈</cp:lastModifiedBy>
  <dcterms:created xsi:type="dcterms:W3CDTF">2023-05-12T11:15:00Z</dcterms:created>
  <dcterms:modified xsi:type="dcterms:W3CDTF">2026-10-10T12:19:52Z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FBA86234C6B64956B364518CFD20D337_12</vt:lpwstr>
  </property>
  <property fmtid="{D5CDD505-2E9C-101B-9397-08002B2CF9AE}" pid="4" name="CalculationRule">
    <vt:i4>0</vt:i4>
  </property>
</Properties>
</file>